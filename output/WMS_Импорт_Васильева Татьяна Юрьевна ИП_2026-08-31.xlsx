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_WMS" sheetId="1" state="visible" r:id="rId1"/>
    <sheet xmlns:r="http://schemas.openxmlformats.org/officeDocument/2006/relationships" name="Сводка_Отбора" sheetId="2" state="visible" r:id="rId2"/>
  </sheets>
  <definedNames>
    <definedName name="_xlnm._FilterDatabase" localSheetId="0" hidden="1">'Импорт_WMS'!$A$1:$E$33</definedName>
    <definedName name="_xlnm.Print_Titles" localSheetId="1">'Сводка_Отбора'!$1:$1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1E272E"/>
    </font>
    <font>
      <b val="1"/>
      <color rgb="002F3542"/>
      <sz val="16"/>
    </font>
    <font>
      <b val="1"/>
      <color rgb="002F3542"/>
    </font>
    <font>
      <b val="1"/>
      <color rgb="002F3542"/>
      <sz val="12"/>
    </font>
    <font>
      <i val="1"/>
      <color rgb="0057606F"/>
    </font>
    <font>
      <i val="1"/>
      <color rgb="002F3542"/>
      <sz val="10"/>
    </font>
  </fonts>
  <fills count="6">
    <fill>
      <patternFill/>
    </fill>
    <fill>
      <patternFill patternType="gray125"/>
    </fill>
    <fill>
      <patternFill patternType="solid">
        <fgColor rgb="002F3542"/>
      </patternFill>
    </fill>
    <fill>
      <patternFill patternType="solid">
        <fgColor rgb="00F1F2F6"/>
      </patternFill>
    </fill>
    <fill>
      <patternFill patternType="solid">
        <fgColor rgb="00F39C12"/>
      </patternFill>
    </fill>
    <fill>
      <patternFill patternType="solid">
        <fgColor rgb="0057606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2F3542"/>
      </top>
      <bottom style="double">
        <color rgb="002F354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0" fontId="2" fillId="3" borderId="2" pivotButton="0" quotePrefix="0" xfId="0"/>
    <xf numFmtId="1" fontId="2" fillId="3" borderId="2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0" customWidth="1" min="2" max="2"/>
    <col width="18" customWidth="1" min="3" max="3"/>
    <col width="15" customWidth="1" min="4" max="4"/>
    <col width="31" customWidth="1" min="5" max="5"/>
  </cols>
  <sheetData>
    <row r="1" ht="26" customHeight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Штрихкод</t>
        </is>
      </c>
      <c r="D1" s="1" t="inlineStr">
        <is>
          <t>Количество</t>
        </is>
      </c>
      <c r="E1" s="1" t="inlineStr">
        <is>
          <t>Заказчик</t>
        </is>
      </c>
    </row>
    <row r="2">
      <c r="A2" s="2" t="n">
        <v>1</v>
      </c>
      <c r="B2" s="3" t="inlineStr">
        <is>
          <t>Спальня Аврора Кровать 90 со встроенным основанием под матрас Белый/Ателье светлый упаковка 1/2</t>
        </is>
      </c>
      <c r="C2" s="4" t="inlineStr">
        <is>
          <t>4603745052677</t>
        </is>
      </c>
      <c r="D2" s="2" t="n">
        <v>2</v>
      </c>
      <c r="E2" s="3" t="inlineStr">
        <is>
          <t>Васильева Татьяна Юрьевна ИП</t>
        </is>
      </c>
    </row>
    <row r="3">
      <c r="A3" s="2" t="n">
        <v>2</v>
      </c>
      <c r="B3" s="3" t="inlineStr">
        <is>
          <t>Спальня Аврора Кровать 90 со встроенным основанием под матрас Белый упаковка 2/2</t>
        </is>
      </c>
      <c r="C3" s="4" t="inlineStr">
        <is>
          <t>4603745052660</t>
        </is>
      </c>
      <c r="D3" s="2" t="n">
        <v>2</v>
      </c>
      <c r="E3" s="3" t="inlineStr">
        <is>
          <t>Васильева Татьяна Юрьевна ИП</t>
        </is>
      </c>
    </row>
    <row r="4">
      <c r="A4" s="2" t="n">
        <v>3</v>
      </c>
      <c r="B4" s="3" t="inlineStr">
        <is>
          <t>Спальня Алёна Шкаф 3-х дверный (корпус) Дуб сонома упаковка 2/2</t>
        </is>
      </c>
      <c r="C4" s="4" t="inlineStr">
        <is>
          <t>4603745050741</t>
        </is>
      </c>
      <c r="D4" s="2" t="n">
        <v>1</v>
      </c>
      <c r="E4" s="3" t="inlineStr">
        <is>
          <t>Васильева Татьяна Юрьевна ИП</t>
        </is>
      </c>
    </row>
    <row r="5">
      <c r="A5" s="2" t="n">
        <v>4</v>
      </c>
      <c r="B5" s="3" t="inlineStr">
        <is>
          <t>Спальня Алёна Шкаф 3-х дверный (корпус, фасады и фурнитура) Дуб сонома/Белый упаковка 1/2</t>
        </is>
      </c>
      <c r="C5" s="4" t="inlineStr">
        <is>
          <t>4603745050734</t>
        </is>
      </c>
      <c r="D5" s="2" t="n">
        <v>1</v>
      </c>
      <c r="E5" s="3" t="inlineStr">
        <is>
          <t>Васильева Татьяна Юрьевна ИП</t>
        </is>
      </c>
    </row>
    <row r="6">
      <c r="A6" s="2" t="n">
        <v>5</v>
      </c>
      <c r="B6" s="3" t="inlineStr">
        <is>
          <t>Гостиная Риана 2,07м (корпус, фасады и фурнитура) Вотан/Антрацит упаковка 2/2</t>
        </is>
      </c>
      <c r="C6" s="4" t="inlineStr">
        <is>
          <t>4673770700188</t>
        </is>
      </c>
      <c r="D6" s="2" t="n">
        <v>1</v>
      </c>
      <c r="E6" s="3" t="inlineStr">
        <is>
          <t>Васильева Татьяна Юрьевна ИП</t>
        </is>
      </c>
    </row>
    <row r="7">
      <c r="A7" s="2" t="n">
        <v>6</v>
      </c>
      <c r="B7" s="3" t="inlineStr">
        <is>
          <t>Гостиная Риана 2,07м/2,5м (корпус, фасады и фурнитура) Вотан/Антрацит упаковка 1/2</t>
        </is>
      </c>
      <c r="C7" s="4" t="inlineStr">
        <is>
          <t>4673770700195</t>
        </is>
      </c>
      <c r="D7" s="2" t="n">
        <v>1</v>
      </c>
      <c r="E7" s="3" t="inlineStr">
        <is>
          <t>Васильева Татьяна Юрьевна ИП</t>
        </is>
      </c>
    </row>
    <row r="8">
      <c r="A8" s="2" t="n">
        <v>7</v>
      </c>
      <c r="B8" s="3" t="inlineStr">
        <is>
          <t>Столешница 27 мм 1,8м Дуб классический 5270/FL упаковка 1/1</t>
        </is>
      </c>
      <c r="C8" s="4" t="inlineStr">
        <is>
          <t>4673770717780</t>
        </is>
      </c>
      <c r="D8" s="2" t="n">
        <v>4</v>
      </c>
      <c r="E8" s="3" t="inlineStr">
        <is>
          <t>Васильева Татьяна Юрьевна ИП</t>
        </is>
      </c>
    </row>
    <row r="9">
      <c r="A9" s="2" t="n">
        <v>8</v>
      </c>
      <c r="B9" s="3" t="inlineStr">
        <is>
          <t>Кухня Ника Классик 1,8м (фасады и фурнитура) Белое дерево упаковка 1/3</t>
        </is>
      </c>
      <c r="C9" s="4" t="inlineStr">
        <is>
          <t>4673735504097</t>
        </is>
      </c>
      <c r="D9" s="2" t="n">
        <v>1</v>
      </c>
      <c r="E9" s="3" t="inlineStr">
        <is>
          <t>Васильева Татьяна Юрьевна ИП</t>
        </is>
      </c>
    </row>
    <row r="10">
      <c r="A10" s="2" t="n">
        <v>9</v>
      </c>
      <c r="B10" s="3" t="inlineStr">
        <is>
          <t>Кухня Ника 1,8м (корпус) Белый упаковка 2/3</t>
        </is>
      </c>
      <c r="C10" s="4" t="inlineStr">
        <is>
          <t>4673735504042</t>
        </is>
      </c>
      <c r="D10" s="2" t="n">
        <v>1</v>
      </c>
      <c r="E10" s="3" t="inlineStr">
        <is>
          <t>Васильева Татьяна Юрьевна ИП</t>
        </is>
      </c>
    </row>
    <row r="11">
      <c r="A11" s="2" t="n">
        <v>10</v>
      </c>
      <c r="B11" s="3" t="inlineStr">
        <is>
          <t>Кухня Ника 1,8м (корпус) Белый упаковка 3/3</t>
        </is>
      </c>
      <c r="C11" s="4" t="inlineStr">
        <is>
          <t>4673735504059</t>
        </is>
      </c>
      <c r="D11" s="2" t="n">
        <v>1</v>
      </c>
      <c r="E11" s="3" t="inlineStr">
        <is>
          <t>Васильева Татьяна Юрьевна ИП</t>
        </is>
      </c>
    </row>
    <row r="12">
      <c r="A12" s="2" t="n">
        <v>11</v>
      </c>
      <c r="B12" s="3" t="inlineStr">
        <is>
          <t>Гостиная Орфей (корпус и фурнитура) Дуб сонома упаковка 1/4</t>
        </is>
      </c>
      <c r="C12" s="4" t="inlineStr">
        <is>
          <t>4673735504240</t>
        </is>
      </c>
      <c r="D12" s="2" t="n">
        <v>1</v>
      </c>
      <c r="E12" s="3" t="inlineStr">
        <is>
          <t>Васильева Татьяна Юрьевна ИП</t>
        </is>
      </c>
    </row>
    <row r="13">
      <c r="A13" s="2" t="n">
        <v>12</v>
      </c>
      <c r="B13" s="3" t="inlineStr">
        <is>
          <t>Гостиная Орфей (корпус и фурнитура) Дуб сонома упаковка 2/4</t>
        </is>
      </c>
      <c r="C13" s="4" t="inlineStr">
        <is>
          <t>4673735504257</t>
        </is>
      </c>
      <c r="D13" s="2" t="n">
        <v>1</v>
      </c>
      <c r="E13" s="3" t="inlineStr">
        <is>
          <t>Васильева Татьяна Юрьевна ИП</t>
        </is>
      </c>
    </row>
    <row r="14">
      <c r="A14" s="2" t="n">
        <v>13</v>
      </c>
      <c r="B14" s="3" t="inlineStr">
        <is>
          <t>Гостиная Орфей (корпус, фасады и стекло) Дуб сонома/Белый упаковка 3/4</t>
        </is>
      </c>
      <c r="C14" s="4" t="inlineStr">
        <is>
          <t>4673735504264</t>
        </is>
      </c>
      <c r="D14" s="2" t="n">
        <v>1</v>
      </c>
      <c r="E14" s="3" t="inlineStr">
        <is>
          <t>Васильева Татьяна Юрьевна ИП</t>
        </is>
      </c>
    </row>
    <row r="15">
      <c r="A15" s="2" t="n">
        <v>14</v>
      </c>
      <c r="B15" s="3" t="inlineStr">
        <is>
          <t>Гостиная Орфей (корпус, фасады и фурнитура) Дуб сонома/Белый упаковка 4/4</t>
        </is>
      </c>
      <c r="C15" s="4" t="inlineStr">
        <is>
          <t>4673735504271</t>
        </is>
      </c>
      <c r="D15" s="2" t="n">
        <v>1</v>
      </c>
      <c r="E15" s="3" t="inlineStr">
        <is>
          <t>Васильева Татьяна Юрьевна ИП</t>
        </is>
      </c>
    </row>
    <row r="16">
      <c r="A16" s="2" t="n">
        <v>15</v>
      </c>
      <c r="B16" s="3" t="inlineStr">
        <is>
          <t>Система Чикаго Зеркало 4мм 1365х266 (полировка) упаковка Ун1/1</t>
        </is>
      </c>
      <c r="C16" s="4" t="inlineStr">
        <is>
          <t>4673735529212</t>
        </is>
      </c>
      <c r="D16" s="2" t="n">
        <v>2</v>
      </c>
      <c r="E16" s="3" t="inlineStr">
        <is>
          <t>Васильева Татьяна Юрьевна ИП</t>
        </is>
      </c>
    </row>
    <row r="17">
      <c r="A17" s="2" t="n">
        <v>16</v>
      </c>
      <c r="B17" s="3" t="inlineStr">
        <is>
          <t>Кровать 160 с ламелями (ламели) упаковка Ун1/1</t>
        </is>
      </c>
      <c r="C17" s="4" t="inlineStr">
        <is>
          <t>4673735524125</t>
        </is>
      </c>
      <c r="D17" s="2" t="n">
        <v>2</v>
      </c>
      <c r="E17" s="3" t="inlineStr">
        <is>
          <t>Васильева Татьяна Юрьевна ИП</t>
        </is>
      </c>
    </row>
    <row r="18">
      <c r="A18" s="2" t="n">
        <v>17</v>
      </c>
      <c r="B18" s="3" t="inlineStr">
        <is>
          <t>Система Оникс Вайт Стол письменный 1д1ящ (корпус, фасады и фурнитура) Белый упаковка 1/1</t>
        </is>
      </c>
      <c r="C18" s="4" t="inlineStr">
        <is>
          <t>4673735529564</t>
        </is>
      </c>
      <c r="D18" s="2" t="n">
        <v>1</v>
      </c>
      <c r="E18" s="3" t="inlineStr">
        <is>
          <t>Васильева Татьяна Юрьевна ИП</t>
        </is>
      </c>
    </row>
    <row r="19">
      <c r="A19" s="2" t="n">
        <v>18</v>
      </c>
      <c r="B19" s="3" t="inlineStr">
        <is>
          <t>Система Феникс Шкаф 3д (корпус и фурнитура) Графит упаковка 1/2</t>
        </is>
      </c>
      <c r="C19" s="4" t="inlineStr">
        <is>
          <t>4673770726072</t>
        </is>
      </c>
      <c r="D19" s="2" t="n">
        <v>2</v>
      </c>
      <c r="E19" s="3" t="inlineStr">
        <is>
          <t>Васильева Татьяна Юрьевна ИП</t>
        </is>
      </c>
    </row>
    <row r="20">
      <c r="A20" s="2" t="n">
        <v>19</v>
      </c>
      <c r="B20" s="3" t="inlineStr">
        <is>
          <t>Система Феникс Шкаф 3д (корпус) Графит упаковка 2/2</t>
        </is>
      </c>
      <c r="C20" s="4" t="inlineStr">
        <is>
          <t>4673770726089</t>
        </is>
      </c>
      <c r="D20" s="2" t="n">
        <v>2</v>
      </c>
      <c r="E20" s="3" t="inlineStr">
        <is>
          <t>Васильева Татьяна Юрьевна ИП</t>
        </is>
      </c>
    </row>
    <row r="21">
      <c r="A21" s="2" t="n">
        <v>20</v>
      </c>
      <c r="B21" s="3" t="inlineStr">
        <is>
          <t>Система Феникс-2 Шкаф 3д (фасады) Графит/Фон дарк упаковка Ун1/1</t>
        </is>
      </c>
      <c r="C21" s="4" t="inlineStr">
        <is>
          <t>4673770726362</t>
        </is>
      </c>
      <c r="D21" s="2" t="n">
        <v>2</v>
      </c>
      <c r="E21" s="3" t="inlineStr">
        <is>
          <t>Васильева Татьяна Юрьевна ИП</t>
        </is>
      </c>
    </row>
    <row r="22">
      <c r="A22" s="2" t="n">
        <v>21</v>
      </c>
      <c r="B22" s="3" t="inlineStr">
        <is>
          <t>Система Феникс-3 Шкаф 120 3д3ящ (корпус и фурнитура) Графит упаковка 1/1</t>
        </is>
      </c>
      <c r="C22" s="4" t="inlineStr">
        <is>
          <t>4673770726560</t>
        </is>
      </c>
      <c r="D22" s="2" t="n">
        <v>1</v>
      </c>
      <c r="E22" s="3" t="inlineStr">
        <is>
          <t>Васильева Татьяна Юрьевна ИП</t>
        </is>
      </c>
    </row>
    <row r="23">
      <c r="A23" s="2" t="n">
        <v>22</v>
      </c>
      <c r="B23" s="3" t="inlineStr">
        <is>
          <t>Система Феникс-3 Шкаф 120 3д3ящ/135 3д3ящ/160 4д3ящ (корпус и фасад) Графит упаковка Ун1/1</t>
        </is>
      </c>
      <c r="C23" s="4" t="inlineStr">
        <is>
          <t>4673770726577</t>
        </is>
      </c>
      <c r="D23" s="2" t="n">
        <v>1</v>
      </c>
      <c r="E23" s="3" t="inlineStr">
        <is>
          <t>Васильева Татьяна Юрьевна ИП</t>
        </is>
      </c>
    </row>
    <row r="24">
      <c r="A24" s="2" t="n">
        <v>23</v>
      </c>
      <c r="B24" s="3" t="inlineStr">
        <is>
          <t>Система Феникс-3 Шкаф 80 2д3ящ/120 3д3ящ/120 5д1ящ/160 4д3ящ (фасады) Графит упаковка Ун1/1</t>
        </is>
      </c>
      <c r="C24" s="4" t="inlineStr">
        <is>
          <t>4673770726676</t>
        </is>
      </c>
      <c r="D24" s="2" t="n">
        <v>1</v>
      </c>
      <c r="E24" s="3" t="inlineStr">
        <is>
          <t>Васильева Татьяна Юрьевна ИП</t>
        </is>
      </c>
    </row>
    <row r="25">
      <c r="A25" s="2" t="n">
        <v>24</v>
      </c>
      <c r="B25" s="3" t="inlineStr">
        <is>
          <t>Система Феникс-3 Шкаф 80 2д3ящ/120 3д3ящ/160 4д3ящ (корпус и фасады) Графит упаковка Ун1/1</t>
        </is>
      </c>
      <c r="C25" s="4" t="inlineStr">
        <is>
          <t>4673770726683</t>
        </is>
      </c>
      <c r="D25" s="2" t="n">
        <v>1</v>
      </c>
      <c r="E25" s="3" t="inlineStr">
        <is>
          <t>Васильева Татьяна Юрьевна ИП</t>
        </is>
      </c>
    </row>
    <row r="26">
      <c r="A26" s="2" t="n">
        <v>25</v>
      </c>
      <c r="B26" s="3" t="inlineStr">
        <is>
          <t>Система Чикаго Вайт Кровать 120/140/160 с ламелями (корпус и фурнитура) Белый упаковка 1/2</t>
        </is>
      </c>
      <c r="C26" s="4" t="inlineStr">
        <is>
          <t>4673735527409</t>
        </is>
      </c>
      <c r="D26" s="2" t="n">
        <v>1</v>
      </c>
      <c r="E26" s="3" t="inlineStr">
        <is>
          <t>Васильева Татьяна Юрьевна ИП</t>
        </is>
      </c>
    </row>
    <row r="27">
      <c r="A27" s="2" t="n">
        <v>26</v>
      </c>
      <c r="B27" s="3" t="inlineStr">
        <is>
          <t>Система Чикаго Вайт Кровать 160 с ламелями (корпус) Белый упаковка 2/2</t>
        </is>
      </c>
      <c r="C27" s="4" t="inlineStr">
        <is>
          <t>4673735527416</t>
        </is>
      </c>
      <c r="D27" s="2" t="n">
        <v>1</v>
      </c>
      <c r="E27" s="3" t="inlineStr">
        <is>
          <t>Васильева Татьяна Юрьевна ИП</t>
        </is>
      </c>
    </row>
    <row r="28">
      <c r="A28" s="2" t="n">
        <v>27</v>
      </c>
      <c r="B28" s="3" t="inlineStr">
        <is>
          <t>Система Чикаго Вайт Шкаф 4д2ящ (корпус и фасады) Белый упаковка 2/2</t>
        </is>
      </c>
      <c r="C28" s="4" t="inlineStr">
        <is>
          <t>4673735527607</t>
        </is>
      </c>
      <c r="D28" s="2" t="n">
        <v>2</v>
      </c>
      <c r="E28" s="3" t="inlineStr">
        <is>
          <t>Васильева Татьяна Юрьевна ИП</t>
        </is>
      </c>
    </row>
    <row r="29">
      <c r="A29" s="2" t="n">
        <v>28</v>
      </c>
      <c r="B29" s="3" t="inlineStr">
        <is>
          <t>Система Чикаго Вайт Шкаф 4д2ящ (корпус и фурнитура) Белый упаковка 1/2</t>
        </is>
      </c>
      <c r="C29" s="4" t="inlineStr">
        <is>
          <t>4673735527614</t>
        </is>
      </c>
      <c r="D29" s="2" t="n">
        <v>2</v>
      </c>
      <c r="E29" s="3" t="inlineStr">
        <is>
          <t>Васильева Татьяна Юрьевна ИП</t>
        </is>
      </c>
    </row>
    <row r="30">
      <c r="A30" s="2" t="n">
        <v>29</v>
      </c>
      <c r="B30" s="3" t="inlineStr">
        <is>
          <t>Система Чикаго Комод 5ящ (корпус, фасады и фурнитура) Ателье светлый упаковка 1/1</t>
        </is>
      </c>
      <c r="C30" s="4" t="inlineStr">
        <is>
          <t>4673735526792</t>
        </is>
      </c>
      <c r="D30" s="2" t="n">
        <v>1</v>
      </c>
      <c r="E30" s="3" t="inlineStr">
        <is>
          <t>Васильева Татьяна Юрьевна ИП</t>
        </is>
      </c>
    </row>
    <row r="31">
      <c r="A31" s="2" t="n">
        <v>30</v>
      </c>
      <c r="B31" s="3" t="inlineStr">
        <is>
          <t>Система Чикаго Кровать 160 с ламелями (корпус и фурнитура) Ателье светлый/Белый упаковка 1/2</t>
        </is>
      </c>
      <c r="C31" s="4" t="inlineStr">
        <is>
          <t>4673735527058</t>
        </is>
      </c>
      <c r="D31" s="2" t="n">
        <v>1</v>
      </c>
      <c r="E31" s="3" t="inlineStr">
        <is>
          <t>Васильева Татьяна Юрьевна ИП</t>
        </is>
      </c>
    </row>
    <row r="32">
      <c r="A32" s="2" t="n">
        <v>31</v>
      </c>
      <c r="B32" s="3" t="inlineStr">
        <is>
          <t>Система Чикаго Кровать 160 с ламелями (корпус) Ателье светлый/Белый упаковка 2/2</t>
        </is>
      </c>
      <c r="C32" s="4" t="inlineStr">
        <is>
          <t>4673735527065</t>
        </is>
      </c>
      <c r="D32" s="2" t="n">
        <v>1</v>
      </c>
      <c r="E32" s="3" t="inlineStr">
        <is>
          <t>Васильева Татьяна Юрьевна ИП</t>
        </is>
      </c>
    </row>
    <row r="33">
      <c r="A33" s="2" t="n">
        <v>32</v>
      </c>
      <c r="B33" s="3" t="inlineStr">
        <is>
          <t>Кухня Ника Классик Стекло 4мм 614х296 (полировка) упаковка Ун1/1</t>
        </is>
      </c>
      <c r="C33" s="4" t="inlineStr">
        <is>
          <t>4673735519831</t>
        </is>
      </c>
      <c r="D33" s="2" t="n">
        <v>2</v>
      </c>
      <c r="E33" s="3" t="inlineStr">
        <is>
          <t>Васильева Татьяна Юрьевна ИП</t>
        </is>
      </c>
    </row>
    <row r="34">
      <c r="A34" s="5" t="inlineStr">
        <is>
          <t>Σ</t>
        </is>
      </c>
      <c r="B34" s="6" t="inlineStr">
        <is>
          <t>ИТОГО (Позиций: 32)</t>
        </is>
      </c>
      <c r="C34" s="7" t="n"/>
      <c r="D34" s="8">
        <f>SUM(D2:D33)</f>
        <v/>
      </c>
      <c r="E34" s="7" t="n"/>
    </row>
  </sheetData>
  <autoFilter ref="A1:E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12" customWidth="1" min="3" max="3"/>
    <col width="42" customWidth="1" min="4" max="4"/>
  </cols>
  <sheetData>
    <row r="1" ht="24" customHeight="1">
      <c r="A1" s="9" t="inlineStr">
        <is>
          <t>Сводка отбора для склада</t>
        </is>
      </c>
    </row>
    <row r="3">
      <c r="A3" s="10" t="inlineStr">
        <is>
          <t>Заказчик</t>
        </is>
      </c>
      <c r="B3" s="11" t="inlineStr">
        <is>
          <t>Васильева Татьяна Юрьевна ИП</t>
        </is>
      </c>
    </row>
    <row r="4">
      <c r="A4" s="10" t="inlineStr">
        <is>
          <t>Источник</t>
        </is>
      </c>
      <c r="B4" s="11" t="inlineStr">
        <is>
          <t>order_vasilyeva_t_no_barcodes.xls</t>
        </is>
      </c>
    </row>
    <row r="5">
      <c r="A5" s="10" t="inlineStr">
        <is>
          <t>Дата обработки</t>
        </is>
      </c>
      <c r="B5" s="11" t="inlineStr">
        <is>
          <t>2026-08-31</t>
        </is>
      </c>
    </row>
    <row r="6">
      <c r="A6" s="10" t="inlineStr">
        <is>
          <t>Всего строк</t>
        </is>
      </c>
      <c r="B6" s="11" t="n">
        <v>32</v>
      </c>
    </row>
    <row r="7">
      <c r="A7" s="10" t="inlineStr">
        <is>
          <t>Всего упаковок/мест</t>
        </is>
      </c>
      <c r="B7" s="11" t="n">
        <v>45</v>
      </c>
    </row>
    <row r="8">
      <c r="A8" s="10" t="inlineStr">
        <is>
          <t>Сопоставлено с ШК</t>
        </is>
      </c>
      <c r="B8" s="11" t="n">
        <v>32</v>
      </c>
    </row>
    <row r="9">
      <c r="A9" s="10" t="inlineStr">
        <is>
          <t>Без ШК</t>
        </is>
      </c>
      <c r="B9" s="11" t="n">
        <v>0</v>
      </c>
    </row>
    <row r="10">
      <c r="A10" s="10" t="inlineStr">
        <is>
          <t>Карантин</t>
        </is>
      </c>
      <c r="B10" s="11" t="n">
        <v>0</v>
      </c>
    </row>
    <row r="12">
      <c r="A12" s="12" t="inlineStr">
        <is>
          <t>Таблица 1. Позиции карантина (ручной отбор)</t>
        </is>
      </c>
    </row>
    <row r="13">
      <c r="A13" s="13" t="inlineStr">
        <is>
          <t>№</t>
        </is>
      </c>
      <c r="B13" s="13" t="inlineStr">
        <is>
          <t>Наименование</t>
        </is>
      </c>
      <c r="C13" s="13" t="inlineStr">
        <is>
          <t>Кол-во</t>
        </is>
      </c>
      <c r="D13" s="13" t="inlineStr">
        <is>
          <t>Причина</t>
        </is>
      </c>
    </row>
    <row r="14">
      <c r="A14" s="14" t="inlineStr">
        <is>
          <t>Карантинных позиций нет.</t>
        </is>
      </c>
    </row>
    <row r="16" ht="48" customHeight="1">
      <c r="A16" s="15" t="inlineStr">
        <is>
          <t>Позиции ниже не имеют заводского штрихкода в каталоге 1С 8. Если штрихкод не был внесен через веб-интерфейс перед выгрузкой, внесите его вручную в WMS или отсканируйте при фактической приемке на склад.</t>
        </is>
      </c>
    </row>
    <row r="18">
      <c r="A18" s="12" t="inlineStr">
        <is>
          <t>Таблица 2. Позиции без ШК (фурнитура / погонаж)</t>
        </is>
      </c>
    </row>
    <row r="19">
      <c r="A19" s="16" t="inlineStr">
        <is>
          <t>№</t>
        </is>
      </c>
      <c r="B19" s="16" t="inlineStr">
        <is>
          <t>Наименование</t>
        </is>
      </c>
      <c r="C19" s="16" t="inlineStr">
        <is>
          <t>Кол-во</t>
        </is>
      </c>
      <c r="D19" s="16" t="inlineStr">
        <is>
          <t>Способ</t>
        </is>
      </c>
    </row>
    <row r="20">
      <c r="A20" s="14" t="inlineStr">
        <is>
          <t>Позиций без штрихкода нет.</t>
        </is>
      </c>
    </row>
  </sheetData>
  <mergeCells count="6">
    <mergeCell ref="A1:D1"/>
    <mergeCell ref="A18:D18"/>
    <mergeCell ref="A12:D12"/>
    <mergeCell ref="A20:D20"/>
    <mergeCell ref="A16:D16"/>
    <mergeCell ref="A14:D1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2026-08-31T16:06:01Z</dcterms:created>
  <dcterms:modified xmlns:dcterms="http://purl.org/dc/terms/" xmlns:xsi="http://www.w3.org/2001/XMLSchema-instance" xsi:type="dcterms:W3CDTF">2026-08-31T16:06:01Z</dcterms:modified>
</cp:coreProperties>
</file>