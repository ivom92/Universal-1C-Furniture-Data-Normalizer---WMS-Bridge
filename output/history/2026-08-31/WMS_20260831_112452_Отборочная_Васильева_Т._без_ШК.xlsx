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WMS" sheetId="1" state="visible" r:id="rId1"/>
    <sheet xmlns:r="http://schemas.openxmlformats.org/officeDocument/2006/relationships" name="Сводка_Отбора" sheetId="2" state="visible" r:id="rId2"/>
  </sheets>
  <definedNames>
    <definedName name="_xlnm._FilterDatabase" localSheetId="0" hidden="1">'Импорт_WMS'!$A$1:$E$33</definedName>
    <definedName name="_xlnm.Print_Titles" localSheetId="1">'Сводка_Отбора'!$1:$1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E272E"/>
    </font>
    <font>
      <b val="1"/>
      <color rgb="002F3542"/>
      <sz val="16"/>
    </font>
    <font>
      <b val="1"/>
      <color rgb="002F3542"/>
    </font>
    <font>
      <b val="1"/>
      <color rgb="002F3542"/>
      <sz val="12"/>
    </font>
    <font>
      <i val="1"/>
      <color rgb="002F3542"/>
      <sz val="10"/>
    </font>
  </fonts>
  <fills count="7">
    <fill>
      <patternFill/>
    </fill>
    <fill>
      <patternFill patternType="gray125"/>
    </fill>
    <fill>
      <patternFill patternType="solid">
        <fgColor rgb="002F3542"/>
      </patternFill>
    </fill>
    <fill>
      <patternFill patternType="solid">
        <fgColor rgb="00F1F2F6"/>
      </patternFill>
    </fill>
    <fill>
      <patternFill patternType="solid">
        <fgColor rgb="00F39C12"/>
      </patternFill>
    </fill>
    <fill>
      <patternFill patternType="solid">
        <fgColor rgb="00F8F9FA"/>
      </patternFill>
    </fill>
    <fill>
      <patternFill patternType="solid">
        <fgColor rgb="0057606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2F3542"/>
      </top>
      <bottom style="double">
        <color rgb="002F354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pivotButton="0" quotePrefix="0" xfId="0"/>
    <xf numFmtId="1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18" customWidth="1" min="3" max="3"/>
    <col width="15" customWidth="1" min="4" max="4"/>
    <col width="51" customWidth="1" min="5" max="5"/>
  </cols>
  <sheetData>
    <row r="1" ht="26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Штрихкод</t>
        </is>
      </c>
      <c r="D1" s="1" t="inlineStr">
        <is>
          <t>Количество</t>
        </is>
      </c>
      <c r="E1" s="1" t="inlineStr">
        <is>
          <t>Заказчик</t>
        </is>
      </c>
    </row>
    <row r="2">
      <c r="A2" s="2" t="n">
        <v>1</v>
      </c>
      <c r="B2" s="3" t="inlineStr">
        <is>
          <t>Àâðîðà Êðîâàòü 90 ñî âñòðîåííûì îñíîâàíèåì ïîä ìàòðàñ 1/2 áåëûé/àòåëüå ñâåòëûé</t>
        </is>
      </c>
      <c r="C2" s="4" t="n"/>
      <c r="D2" s="2" t="n">
        <v>2</v>
      </c>
      <c r="E2" s="3" t="inlineStr">
        <is>
          <t>Перемещение (Отборочная Васильева Т. без ШК.xls)</t>
        </is>
      </c>
    </row>
    <row r="3">
      <c r="A3" s="2" t="n">
        <v>2</v>
      </c>
      <c r="B3" s="3" t="inlineStr">
        <is>
          <t>Àâðîðà Êðîâàòü 90 ñî âñòðîåííûì îñíîâàíèåì ïîä ìàòðàñ 2/2 áåëûé</t>
        </is>
      </c>
      <c r="C3" s="4" t="n"/>
      <c r="D3" s="2" t="n">
        <v>2</v>
      </c>
      <c r="E3" s="3" t="inlineStr">
        <is>
          <t>Перемещение (Отборочная Васильева Т. без ШК.xls)</t>
        </is>
      </c>
    </row>
    <row r="4">
      <c r="A4" s="2" t="n">
        <v>3</v>
      </c>
      <c r="B4" s="3" t="inlineStr">
        <is>
          <t>Àë ̧íà Øêàô 3-õ äâåðíûé (êîðïóñ) 2/2 äóá ñîíîìà</t>
        </is>
      </c>
      <c r="C4" s="4" t="n"/>
      <c r="D4" s="2" t="n">
        <v>1</v>
      </c>
      <c r="E4" s="3" t="inlineStr">
        <is>
          <t>Перемещение (Отборочная Васильева Т. без ШК.xls)</t>
        </is>
      </c>
    </row>
    <row r="5">
      <c r="A5" s="2" t="n">
        <v>4</v>
      </c>
      <c r="B5" s="3" t="inlineStr">
        <is>
          <t>Система Маттео Стол журнальный (корпус и фурнитура) Белый упаковка 1/2</t>
        </is>
      </c>
      <c r="C5" s="4" t="n"/>
      <c r="D5" s="2" t="n">
        <v>1</v>
      </c>
      <c r="E5" s="3" t="inlineStr">
        <is>
          <t>Перемещение (Отборочная Васильева Т. без ШК.xls)</t>
        </is>
      </c>
    </row>
    <row r="6">
      <c r="A6" s="2" t="n">
        <v>5</v>
      </c>
      <c r="B6" s="3" t="inlineStr">
        <is>
          <t>Система Маттео Стол журнальный (профили) Дымчатый зелёный упаковка 2/2</t>
        </is>
      </c>
      <c r="C6" s="4" t="n"/>
      <c r="D6" s="2" t="n">
        <v>1</v>
      </c>
      <c r="E6" s="3" t="inlineStr">
        <is>
          <t>Перемещение (Отборочная Васильева Т. без ШК.xls)</t>
        </is>
      </c>
    </row>
    <row r="7">
      <c r="A7" s="2" t="n">
        <v>6</v>
      </c>
      <c r="B7" s="3" t="inlineStr">
        <is>
          <t>Система Маттео Стол журнальный (корпус и фурнитура) Белый упаковка 1/2</t>
        </is>
      </c>
      <c r="C7" s="4" t="n"/>
      <c r="D7" s="2" t="n">
        <v>1</v>
      </c>
      <c r="E7" s="3" t="inlineStr">
        <is>
          <t>Перемещение (Отборочная Васильева Т. без ШК.xls)</t>
        </is>
      </c>
    </row>
    <row r="8">
      <c r="A8" s="2" t="n">
        <v>7</v>
      </c>
      <c r="B8" s="3" t="inlineStr">
        <is>
          <t>Столешница 27 мм 1,1м Дуб классический 5270/FL упаковка 1/1</t>
        </is>
      </c>
      <c r="C8" s="4" t="n"/>
      <c r="D8" s="2" t="n">
        <v>4</v>
      </c>
      <c r="E8" s="3" t="inlineStr">
        <is>
          <t>Перемещение (Отборочная Васильева Т. без ШК.xls)</t>
        </is>
      </c>
    </row>
    <row r="9">
      <c r="A9" s="2" t="n">
        <v>8</v>
      </c>
      <c r="B9" s="3" t="inlineStr">
        <is>
          <t>Гостиная Твинс Тумба ТВ 180 (корпус) Ателье светлый упаковка 1/3</t>
        </is>
      </c>
      <c r="C9" s="4" t="n"/>
      <c r="D9" s="2" t="n">
        <v>1</v>
      </c>
      <c r="E9" s="3" t="inlineStr">
        <is>
          <t>Перемещение (Отборочная Васильева Т. без ШК.xls)</t>
        </is>
      </c>
    </row>
    <row r="10">
      <c r="A10" s="2" t="n">
        <v>9</v>
      </c>
      <c r="B10" s="3" t="inlineStr">
        <is>
          <t>Фасады к кухне Равенна Тренд Софт В80 выт Монолит глоу упаковка 2/3</t>
        </is>
      </c>
      <c r="C10" s="4" t="n"/>
      <c r="D10" s="2" t="n">
        <v>1</v>
      </c>
      <c r="E10" s="3" t="inlineStr">
        <is>
          <t>Перемещение (Отборочная Васильева Т. без ШК.xls)</t>
        </is>
      </c>
    </row>
    <row r="11">
      <c r="A11" s="2" t="n">
        <v>10</v>
      </c>
      <c r="B11" s="3" t="inlineStr">
        <is>
          <t>Фурнитура к системе Модесто Тумба ТВ 200 Графит/Фон дарк упаковка 3/3</t>
        </is>
      </c>
      <c r="C11" s="4" t="n"/>
      <c r="D11" s="2" t="n">
        <v>1</v>
      </c>
      <c r="E11" s="3" t="inlineStr">
        <is>
          <t>Перемещение (Отборочная Васильева Т. без ШК.xls)</t>
        </is>
      </c>
    </row>
    <row r="12">
      <c r="A12" s="2" t="n">
        <v>11</v>
      </c>
      <c r="B12" s="3" t="inlineStr">
        <is>
          <t>Система Маттео Витрина 1д1в (корпус и фурнитура) Белый упаковка 1/4</t>
        </is>
      </c>
      <c r="C12" s="4" t="n"/>
      <c r="D12" s="2" t="n">
        <v>1</v>
      </c>
      <c r="E12" s="3" t="inlineStr">
        <is>
          <t>Перемещение (Отборочная Васильева Т. без ШК.xls)</t>
        </is>
      </c>
    </row>
    <row r="13">
      <c r="A13" s="2" t="n">
        <v>12</v>
      </c>
      <c r="B13" s="3" t="inlineStr">
        <is>
          <t>Îðôåé Ãîñòèíàÿ (êîðïóñ è ôóðíèòóðà) 2/4 Äóá ñîíîìà</t>
        </is>
      </c>
      <c r="C13" s="4" t="n"/>
      <c r="D13" s="2" t="n">
        <v>1</v>
      </c>
      <c r="E13" s="3" t="inlineStr">
        <is>
          <t>Перемещение (Отборочная Васильева Т. без ШК.xls)</t>
        </is>
      </c>
    </row>
    <row r="14">
      <c r="A14" s="2" t="n">
        <v>13</v>
      </c>
      <c r="B14" s="3" t="inlineStr">
        <is>
          <t>Гостиная Марк комплект Шкаф-Пенал ПР Венге/Дуб сонома упаковка 3/4</t>
        </is>
      </c>
      <c r="C14" s="4" t="inlineStr">
        <is>
          <t>4603734805444</t>
        </is>
      </c>
      <c r="D14" s="2" t="n">
        <v>1</v>
      </c>
      <c r="E14" s="3" t="inlineStr">
        <is>
          <t>Перемещение (Отборочная Васильева Т. без ШК.xls)</t>
        </is>
      </c>
    </row>
    <row r="15">
      <c r="A15" s="2" t="n">
        <v>14</v>
      </c>
      <c r="B15" s="3" t="inlineStr">
        <is>
          <t>Фурнитура к системе Модесто Шкаф 2д1з Антрацит/Фон дарк упаковка 4/4</t>
        </is>
      </c>
      <c r="C15" s="4" t="n"/>
      <c r="D15" s="2" t="n">
        <v>1</v>
      </c>
      <c r="E15" s="3" t="inlineStr">
        <is>
          <t>Перемещение (Отборочная Васильева Т. без ШК.xls)</t>
        </is>
      </c>
    </row>
    <row r="16">
      <c r="A16" s="2" t="n">
        <v>15</v>
      </c>
      <c r="B16" s="3" t="inlineStr">
        <is>
          <t>ÏÔ Çåðêàëî 1365õ266 ×èêàãî (ïîëèðîâêà)</t>
        </is>
      </c>
      <c r="C16" s="4" t="n"/>
      <c r="D16" s="2" t="n">
        <v>2</v>
      </c>
      <c r="E16" s="3" t="inlineStr">
        <is>
          <t>Перемещение (Отборочная Васильева Т. без ШК.xls)</t>
        </is>
      </c>
    </row>
    <row r="17">
      <c r="A17" s="2" t="n">
        <v>16</v>
      </c>
      <c r="B17" s="3" t="inlineStr">
        <is>
          <t>Ñèñòåìà Êðîâàòü 160 ñ ëàìåëÿìè (ëàìåëè) Óí1/1</t>
        </is>
      </c>
      <c r="C17" s="4" t="n"/>
      <c r="D17" s="2" t="n">
        <v>2</v>
      </c>
      <c r="E17" s="3" t="inlineStr">
        <is>
          <t>Перемещение (Отборочная Васильева Т. без ШК.xls)</t>
        </is>
      </c>
    </row>
    <row r="18">
      <c r="A18" s="2" t="n">
        <v>17</v>
      </c>
      <c r="B18" s="3" t="inlineStr">
        <is>
          <t>Ортопедическое основание с кронштейнами 160х200 IMP упаковка Ун1/1</t>
        </is>
      </c>
      <c r="C18" s="4" t="n"/>
      <c r="D18" s="2" t="n">
        <v>1</v>
      </c>
      <c r="E18" s="3" t="inlineStr">
        <is>
          <t>Перемещение (Отборочная Васильева Т. без ШК.xls)</t>
        </is>
      </c>
    </row>
    <row r="19">
      <c r="A19" s="2" t="n">
        <v>18</v>
      </c>
      <c r="B19" s="3" t="inlineStr">
        <is>
          <t>Система Маттео Стол журнальный (корпус и фурнитура) Белый упаковка 1/2</t>
        </is>
      </c>
      <c r="C19" s="4" t="n"/>
      <c r="D19" s="2" t="n">
        <v>2</v>
      </c>
      <c r="E19" s="3" t="inlineStr">
        <is>
          <t>Перемещение (Отборочная Васильева Т. без ШК.xls)</t>
        </is>
      </c>
    </row>
    <row r="20">
      <c r="A20" s="2" t="n">
        <v>19</v>
      </c>
      <c r="B20" s="3" t="inlineStr">
        <is>
          <t>Ñèñòåìà Ôåíèêñ Øêàô 3ä (êîðïóñ) 2/2 Ãðàôèò</t>
        </is>
      </c>
      <c r="C20" s="4" t="n"/>
      <c r="D20" s="2" t="n">
        <v>2</v>
      </c>
      <c r="E20" s="3" t="inlineStr">
        <is>
          <t>Перемещение (Отборочная Васильева Т. без ШК.xls)</t>
        </is>
      </c>
    </row>
    <row r="21">
      <c r="A21" s="2" t="n">
        <v>20</v>
      </c>
      <c r="B21" s="3" t="inlineStr">
        <is>
          <t>Ортопедическое основание с кронштейнами 160х200 IMP упаковка Ун1/1</t>
        </is>
      </c>
      <c r="C21" s="4" t="n"/>
      <c r="D21" s="2" t="n">
        <v>2</v>
      </c>
      <c r="E21" s="3" t="inlineStr">
        <is>
          <t>Перемещение (Отборочная Васильева Т. без ШК.xls)</t>
        </is>
      </c>
    </row>
    <row r="22">
      <c r="A22" s="2" t="n">
        <v>21</v>
      </c>
      <c r="B22" s="3" t="inlineStr">
        <is>
          <t>Ñèñòåìà Ôåíèêñ-3 Øêàô 120 3ä3ÿù (êîðïóñ è ôóðíèòóðà) 1/1 Ãðàôèò</t>
        </is>
      </c>
      <c r="C22" s="4" t="n"/>
      <c r="D22" s="2" t="n">
        <v>1</v>
      </c>
      <c r="E22" s="3" t="inlineStr">
        <is>
          <t>Перемещение (Отборочная Васильева Т. без ШК.xls)</t>
        </is>
      </c>
    </row>
    <row r="23">
      <c r="A23" s="2" t="n">
        <v>22</v>
      </c>
      <c r="B23" s="3" t="inlineStr">
        <is>
          <t>Ñèñòåìà Ôåíèêñ-3 Øêàô 120 3ä3ÿù/135 3ä3ÿù/160 4ä3ÿù (êîðïóñ è ôàñàä) Óí1/1 Ãðàôèò</t>
        </is>
      </c>
      <c r="C23" s="4" t="n"/>
      <c r="D23" s="2" t="n">
        <v>1</v>
      </c>
      <c r="E23" s="3" t="inlineStr">
        <is>
          <t>Перемещение (Отборочная Васильева Т. без ШК.xls)</t>
        </is>
      </c>
    </row>
    <row r="24">
      <c r="A24" s="2" t="n">
        <v>23</v>
      </c>
      <c r="B24" s="3" t="inlineStr">
        <is>
          <t>Ñèñòåìà Ôåíèêñ-3 Øêàô 80 2ä3ÿù/120 3ä3ÿù/120 5ä1ÿù/160 4ä3ÿù (ôàñàäû) Óí1/1 Ãðàôèò</t>
        </is>
      </c>
      <c r="C24" s="4" t="n"/>
      <c r="D24" s="2" t="n">
        <v>1</v>
      </c>
      <c r="E24" s="3" t="inlineStr">
        <is>
          <t>Перемещение (Отборочная Васильева Т. без ШК.xls)</t>
        </is>
      </c>
    </row>
    <row r="25">
      <c r="A25" s="2" t="n">
        <v>24</v>
      </c>
      <c r="B25" s="3" t="inlineStr">
        <is>
          <t>Ñèñòåìà Ôåíèêñ-3 Øêàô 80 2ä3ÿù/120 3ä3ÿù/160 4ä3ÿù (êîðïóñ è ôàñàäû) Óí1/1 Ãðàôèò</t>
        </is>
      </c>
      <c r="C25" s="4" t="n"/>
      <c r="D25" s="2" t="n">
        <v>1</v>
      </c>
      <c r="E25" s="3" t="inlineStr">
        <is>
          <t>Перемещение (Отборочная Васильева Т. без ШК.xls)</t>
        </is>
      </c>
    </row>
    <row r="26">
      <c r="A26" s="2" t="n">
        <v>25</v>
      </c>
      <c r="B26" s="3" t="inlineStr">
        <is>
          <t>Система Модесто Кровать 160 с подъемным механизмом (корпус и фурнитура) Антрацит упаковка 1/2</t>
        </is>
      </c>
      <c r="C26" s="4" t="n"/>
      <c r="D26" s="2" t="n">
        <v>1</v>
      </c>
      <c r="E26" s="3" t="inlineStr">
        <is>
          <t>Перемещение (Отборочная Васильева Т. без ШК.xls)</t>
        </is>
      </c>
    </row>
    <row r="27">
      <c r="A27" s="2" t="n">
        <v>26</v>
      </c>
      <c r="B27" s="3" t="inlineStr">
        <is>
          <t>Система Модесто Кровать 160 с подъемным механизмом (корпус) Антрацит упаковка 2/2</t>
        </is>
      </c>
      <c r="C27" s="4" t="n"/>
      <c r="D27" s="2" t="n">
        <v>1</v>
      </c>
      <c r="E27" s="3" t="inlineStr">
        <is>
          <t>Перемещение (Отборочная Васильева Т. без ШК.xls)</t>
        </is>
      </c>
    </row>
    <row r="28">
      <c r="A28" s="2" t="n">
        <v>27</v>
      </c>
      <c r="B28" s="3" t="inlineStr">
        <is>
          <t>Система Барселона Сундук (фурнитура) упаковка 2/2</t>
        </is>
      </c>
      <c r="C28" s="4" t="n"/>
      <c r="D28" s="2" t="n">
        <v>2</v>
      </c>
      <c r="E28" s="3" t="inlineStr">
        <is>
          <t>Перемещение (Отборочная Васильева Т. без ШК.xls)</t>
        </is>
      </c>
    </row>
    <row r="29">
      <c r="A29" s="2" t="n">
        <v>28</v>
      </c>
      <c r="B29" s="3" t="inlineStr">
        <is>
          <t>Система Маттео Стол журнальный (корпус и фурнитура) Белый упаковка 1/2</t>
        </is>
      </c>
      <c r="C29" s="4" t="n"/>
      <c r="D29" s="2" t="n">
        <v>2</v>
      </c>
      <c r="E29" s="3" t="inlineStr">
        <is>
          <t>Перемещение (Отборочная Васильева Т. без ШК.xls)</t>
        </is>
      </c>
    </row>
    <row r="30">
      <c r="A30" s="2" t="n">
        <v>29</v>
      </c>
      <c r="B30" s="3" t="inlineStr">
        <is>
          <t>Ортопедическое основание с кронштейнами 180х200 IMP упаковка Ун1/1</t>
        </is>
      </c>
      <c r="C30" s="4" t="n"/>
      <c r="D30" s="2" t="n">
        <v>1</v>
      </c>
      <c r="E30" s="3" t="inlineStr">
        <is>
          <t>Перемещение (Отборочная Васильева Т. без ШК.xls)</t>
        </is>
      </c>
    </row>
    <row r="31">
      <c r="A31" s="2" t="n">
        <v>30</v>
      </c>
      <c r="B31" s="3" t="inlineStr">
        <is>
          <t>Система Модесто Кровать 160 с подъемным механизмом (корпус и фурнитура) Антрацит упаковка 1/2</t>
        </is>
      </c>
      <c r="C31" s="4" t="n"/>
      <c r="D31" s="2" t="n">
        <v>1</v>
      </c>
      <c r="E31" s="3" t="inlineStr">
        <is>
          <t>Перемещение (Отборочная Васильева Т. без ШК.xls)</t>
        </is>
      </c>
    </row>
    <row r="32">
      <c r="A32" s="2" t="n">
        <v>31</v>
      </c>
      <c r="B32" s="3" t="inlineStr">
        <is>
          <t>Система Модесто Кровать 160 с подъемным механизмом (корпус) Антрацит упаковка 2/2</t>
        </is>
      </c>
      <c r="C32" s="4" t="n"/>
      <c r="D32" s="2" t="n">
        <v>1</v>
      </c>
      <c r="E32" s="3" t="inlineStr">
        <is>
          <t>Перемещение (Отборочная Васильева Т. без ШК.xls)</t>
        </is>
      </c>
    </row>
    <row r="33">
      <c r="A33" s="2" t="n">
        <v>32</v>
      </c>
      <c r="B33" s="3" t="inlineStr">
        <is>
          <t>Ñòåêëî 4ìì 614õ296 Íèêà</t>
        </is>
      </c>
      <c r="C33" s="4" t="n"/>
      <c r="D33" s="2" t="n">
        <v>2</v>
      </c>
      <c r="E33" s="3" t="inlineStr">
        <is>
          <t>Перемещение (Отборочная Васильева Т. без ШК.xls)</t>
        </is>
      </c>
    </row>
    <row r="34">
      <c r="A34" s="5" t="inlineStr">
        <is>
          <t>Σ</t>
        </is>
      </c>
      <c r="B34" s="6" t="inlineStr">
        <is>
          <t>ИТОГО (Позиций: 32)</t>
        </is>
      </c>
      <c r="C34" s="7" t="n"/>
      <c r="D34" s="8">
        <f>SUM(D2:D33)</f>
        <v/>
      </c>
      <c r="E34" s="7" t="n"/>
    </row>
  </sheetData>
  <autoFilter ref="A1:E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42" customWidth="1" min="4" max="4"/>
  </cols>
  <sheetData>
    <row r="1" ht="24" customHeight="1">
      <c r="A1" s="9" t="inlineStr">
        <is>
          <t>Сводка отбора для склада</t>
        </is>
      </c>
    </row>
    <row r="3">
      <c r="A3" s="10" t="inlineStr">
        <is>
          <t>Заказчик</t>
        </is>
      </c>
      <c r="B3" s="11" t="inlineStr">
        <is>
          <t>Перемещение (Отборочная Васильева Т. без ШК.xls)</t>
        </is>
      </c>
    </row>
    <row r="4">
      <c r="A4" s="10" t="inlineStr">
        <is>
          <t>Источник</t>
        </is>
      </c>
      <c r="B4" s="11" t="inlineStr">
        <is>
          <t>Отборочная Васильева Т. без ШК.xls</t>
        </is>
      </c>
    </row>
    <row r="5">
      <c r="A5" s="10" t="inlineStr">
        <is>
          <t>Дата обработки</t>
        </is>
      </c>
      <c r="B5" s="11" t="inlineStr">
        <is>
          <t>2026-08-31</t>
        </is>
      </c>
    </row>
    <row r="6">
      <c r="A6" s="10" t="inlineStr">
        <is>
          <t>Всего строк</t>
        </is>
      </c>
      <c r="B6" s="11" t="n">
        <v>32</v>
      </c>
    </row>
    <row r="7">
      <c r="A7" s="10" t="inlineStr">
        <is>
          <t>Всего упаковок/мест</t>
        </is>
      </c>
      <c r="B7" s="11" t="n">
        <v>45</v>
      </c>
    </row>
    <row r="8">
      <c r="A8" s="10" t="inlineStr">
        <is>
          <t>Сопоставлено с ШК</t>
        </is>
      </c>
      <c r="B8" s="11" t="n">
        <v>1</v>
      </c>
    </row>
    <row r="9">
      <c r="A9" s="10" t="inlineStr">
        <is>
          <t>Без ШК</t>
        </is>
      </c>
      <c r="B9" s="11" t="n">
        <v>19</v>
      </c>
    </row>
    <row r="10">
      <c r="A10" s="10" t="inlineStr">
        <is>
          <t>Карантин</t>
        </is>
      </c>
      <c r="B10" s="11" t="n">
        <v>12</v>
      </c>
    </row>
    <row r="12">
      <c r="A12" s="12" t="inlineStr">
        <is>
          <t>Таблица 1. Позиции карантина (ручной отбор)</t>
        </is>
      </c>
    </row>
    <row r="13">
      <c r="A13" s="13" t="inlineStr">
        <is>
          <t>№</t>
        </is>
      </c>
      <c r="B13" s="13" t="inlineStr">
        <is>
          <t>Наименование</t>
        </is>
      </c>
      <c r="C13" s="13" t="inlineStr">
        <is>
          <t>Кол-во</t>
        </is>
      </c>
      <c r="D13" s="13" t="inlineStr">
        <is>
          <t>Причина</t>
        </is>
      </c>
    </row>
    <row r="14">
      <c r="A14" s="14" t="n">
        <v>1</v>
      </c>
      <c r="B14" s="3" t="inlineStr">
        <is>
          <t>Àâðîðà Êðîâàòü 90 ñî âñòðîåííûì îñíîâàíèåì ïîä ìàòðàñ 1/2 áåëûé/àòåëüå ñâåòëûé</t>
        </is>
      </c>
      <c r="C14" s="14" t="n">
        <v>2</v>
      </c>
      <c r="D14" s="3" t="inlineStr">
        <is>
          <t>Отсутствует в каталоге фабрики</t>
        </is>
      </c>
    </row>
    <row r="15">
      <c r="A15" s="15" t="n">
        <v>2</v>
      </c>
      <c r="B15" s="16" t="inlineStr">
        <is>
          <t>Àâðîðà Êðîâàòü 90 ñî âñòðîåííûì îñíîâàíèåì ïîä ìàòðàñ 2/2 áåëûé</t>
        </is>
      </c>
      <c r="C15" s="15" t="n">
        <v>2</v>
      </c>
      <c r="D15" s="16" t="inlineStr">
        <is>
          <t>Отсутствует в каталоге фабрики</t>
        </is>
      </c>
    </row>
    <row r="16">
      <c r="A16" s="14" t="n">
        <v>3</v>
      </c>
      <c r="B16" s="3" t="inlineStr">
        <is>
          <t>Àë ̧íà Øêàô 3-õ äâåðíûé (êîðïóñ) 2/2 äóá ñîíîìà</t>
        </is>
      </c>
      <c r="C16" s="14" t="n">
        <v>1</v>
      </c>
      <c r="D16" s="3" t="inlineStr">
        <is>
          <t>Артикул не найден в каталоге v8</t>
        </is>
      </c>
    </row>
    <row r="17">
      <c r="A17" s="15" t="n">
        <v>12</v>
      </c>
      <c r="B17" s="16" t="inlineStr">
        <is>
          <t>Îðôåé Ãîñòèíàÿ (êîðïóñ è ôóðíèòóðà) 2/4 Äóá ñîíîìà</t>
        </is>
      </c>
      <c r="C17" s="15" t="n">
        <v>1</v>
      </c>
      <c r="D17" s="16" t="inlineStr">
        <is>
          <t>Артикул не найден в каталоге v8</t>
        </is>
      </c>
    </row>
    <row r="18">
      <c r="A18" s="14" t="n">
        <v>15</v>
      </c>
      <c r="B18" s="3" t="inlineStr">
        <is>
          <t>ÏÔ Çåðêàëî 1365õ266 ×èêàãî (ïîëèðîâêà)</t>
        </is>
      </c>
      <c r="C18" s="14" t="n">
        <v>2</v>
      </c>
      <c r="D18" s="3" t="inlineStr">
        <is>
          <t>Отсутствует в каталоге фабрики</t>
        </is>
      </c>
    </row>
    <row r="19">
      <c r="A19" s="15" t="n">
        <v>16</v>
      </c>
      <c r="B19" s="16" t="inlineStr">
        <is>
          <t>Ñèñòåìà Êðîâàòü 160 ñ ëàìåëÿìè (ëàìåëè) Óí1/1</t>
        </is>
      </c>
      <c r="C19" s="15" t="n">
        <v>2</v>
      </c>
      <c r="D19" s="16" t="inlineStr">
        <is>
          <t>Отсутствует в каталоге фабрики</t>
        </is>
      </c>
    </row>
    <row r="20">
      <c r="A20" s="14" t="n">
        <v>19</v>
      </c>
      <c r="B20" s="3" t="inlineStr">
        <is>
          <t>Ñèñòåìà Ôåíèêñ Øêàô 3ä (êîðïóñ) 2/2 Ãðàôèò</t>
        </is>
      </c>
      <c r="C20" s="14" t="n">
        <v>2</v>
      </c>
      <c r="D20" s="3" t="inlineStr">
        <is>
          <t>Артикул не найден в каталоге v8</t>
        </is>
      </c>
    </row>
    <row r="21">
      <c r="A21" s="15" t="n">
        <v>21</v>
      </c>
      <c r="B21" s="16" t="inlineStr">
        <is>
          <t>Ñèñòåìà Ôåíèêñ-3 Øêàô 120 3ä3ÿù (êîðïóñ è ôóðíèòóðà) 1/1 Ãðàôèò</t>
        </is>
      </c>
      <c r="C21" s="15" t="n">
        <v>1</v>
      </c>
      <c r="D21" s="16" t="inlineStr">
        <is>
          <t>Отсутствует в каталоге фабрики</t>
        </is>
      </c>
    </row>
    <row r="22">
      <c r="A22" s="14" t="n">
        <v>22</v>
      </c>
      <c r="B22" s="3" t="inlineStr">
        <is>
          <t>Ñèñòåìà Ôåíèêñ-3 Øêàô 120 3ä3ÿù/135 3ä3ÿù/160 4ä3ÿù (êîðïóñ è ôàñàä) Óí1/1 Ãðàôèò</t>
        </is>
      </c>
      <c r="C22" s="14" t="n">
        <v>1</v>
      </c>
      <c r="D22" s="3" t="inlineStr">
        <is>
          <t>Отсутствует в каталоге фабрики</t>
        </is>
      </c>
    </row>
    <row r="23">
      <c r="A23" s="15" t="n">
        <v>23</v>
      </c>
      <c r="B23" s="16" t="inlineStr">
        <is>
          <t>Ñèñòåìà Ôåíèêñ-3 Øêàô 80 2ä3ÿù/120 3ä3ÿù/120 5ä1ÿù/160 4ä3ÿù (ôàñàäû) Óí1/1 Ãðàôèò</t>
        </is>
      </c>
      <c r="C23" s="15" t="n">
        <v>1</v>
      </c>
      <c r="D23" s="16" t="inlineStr">
        <is>
          <t>Отсутствует в каталоге фабрики</t>
        </is>
      </c>
    </row>
    <row r="24">
      <c r="A24" s="14" t="n">
        <v>24</v>
      </c>
      <c r="B24" s="3" t="inlineStr">
        <is>
          <t>Ñèñòåìà Ôåíèêñ-3 Øêàô 80 2ä3ÿù/120 3ä3ÿù/160 4ä3ÿù (êîðïóñ è ôàñàäû) Óí1/1 Ãðàôèò</t>
        </is>
      </c>
      <c r="C24" s="14" t="n">
        <v>1</v>
      </c>
      <c r="D24" s="3" t="inlineStr">
        <is>
          <t>Отсутствует в каталоге фабрики</t>
        </is>
      </c>
    </row>
    <row r="25">
      <c r="A25" s="15" t="n">
        <v>32</v>
      </c>
      <c r="B25" s="16" t="inlineStr">
        <is>
          <t>Ñòåêëî 4ìì 614õ296 Íèêà</t>
        </is>
      </c>
      <c r="C25" s="15" t="n">
        <v>2</v>
      </c>
      <c r="D25" s="16" t="inlineStr">
        <is>
          <t>Отсутствует в каталоге фабрики</t>
        </is>
      </c>
    </row>
    <row r="27" ht="48" customHeight="1">
      <c r="A27" s="17" t="inlineStr">
        <is>
          <t>Позиции ниже не имеют заводского штрихкода в каталоге 1С 8. Если штрихкод не был внесен через веб-интерфейс перед выгрузкой, внесите его вручную в WMS или отсканируйте при фактической приемке на склад.</t>
        </is>
      </c>
    </row>
    <row r="29">
      <c r="A29" s="12" t="inlineStr">
        <is>
          <t>Таблица 2. Позиции без ШК (фурнитура / погонаж)</t>
        </is>
      </c>
    </row>
    <row r="30">
      <c r="A30" s="18" t="inlineStr">
        <is>
          <t>№</t>
        </is>
      </c>
      <c r="B30" s="18" t="inlineStr">
        <is>
          <t>Наименование</t>
        </is>
      </c>
      <c r="C30" s="18" t="inlineStr">
        <is>
          <t>Кол-во</t>
        </is>
      </c>
      <c r="D30" s="18" t="inlineStr">
        <is>
          <t>Способ</t>
        </is>
      </c>
    </row>
    <row r="31">
      <c r="A31" s="14" t="n">
        <v>4</v>
      </c>
      <c r="B31" s="3" t="inlineStr">
        <is>
          <t>Система Маттео Стол журнальный (корпус и фурнитура) Белый упаковка 1/2</t>
        </is>
      </c>
      <c r="C31" s="14" t="n">
        <v>1</v>
      </c>
      <c r="D31" s="3" t="inlineStr">
        <is>
          <t>Заводской ШК отсутствует (фурнитура/погонаж)</t>
        </is>
      </c>
    </row>
    <row r="32">
      <c r="A32" s="15" t="n">
        <v>5</v>
      </c>
      <c r="B32" s="16" t="inlineStr">
        <is>
          <t>Система Маттео Стол журнальный (профили) Дымчатый зелёный упаковка 2/2</t>
        </is>
      </c>
      <c r="C32" s="15" t="n">
        <v>1</v>
      </c>
      <c r="D32" s="16" t="inlineStr">
        <is>
          <t>Заводской ШК отсутствует (фурнитура/погонаж)</t>
        </is>
      </c>
    </row>
    <row r="33">
      <c r="A33" s="14" t="n">
        <v>6</v>
      </c>
      <c r="B33" s="3" t="inlineStr">
        <is>
          <t>Система Маттео Стол журнальный (корпус и фурнитура) Белый упаковка 1/2</t>
        </is>
      </c>
      <c r="C33" s="14" t="n">
        <v>1</v>
      </c>
      <c r="D33" s="3" t="inlineStr">
        <is>
          <t>Заводской ШК отсутствует (фурнитура/погонаж)</t>
        </is>
      </c>
    </row>
    <row r="34">
      <c r="A34" s="15" t="n">
        <v>7</v>
      </c>
      <c r="B34" s="16" t="inlineStr">
        <is>
          <t>Столешница 27 мм 1,1м Дуб классический 5270/FL упаковка 1/1</t>
        </is>
      </c>
      <c r="C34" s="15" t="n">
        <v>4</v>
      </c>
      <c r="D34" s="16" t="inlineStr">
        <is>
          <t>Заводской ШК отсутствует (фурнитура/погонаж)</t>
        </is>
      </c>
    </row>
    <row r="35">
      <c r="A35" s="14" t="n">
        <v>8</v>
      </c>
      <c r="B35" s="3" t="inlineStr">
        <is>
          <t>Гостиная Твинс Тумба ТВ 180 (корпус) Ателье светлый упаковка 1/3</t>
        </is>
      </c>
      <c r="C35" s="14" t="n">
        <v>1</v>
      </c>
      <c r="D35" s="3" t="inlineStr">
        <is>
          <t>Заводской ШК отсутствует (фурнитура/погонаж)</t>
        </is>
      </c>
    </row>
    <row r="36">
      <c r="A36" s="15" t="n">
        <v>9</v>
      </c>
      <c r="B36" s="16" t="inlineStr">
        <is>
          <t>Фасады к кухне Равенна Тренд Софт В80 выт Монолит глоу упаковка 2/3</t>
        </is>
      </c>
      <c r="C36" s="15" t="n">
        <v>1</v>
      </c>
      <c r="D36" s="16" t="inlineStr">
        <is>
          <t>Заводской ШК отсутствует (фурнитура/погонаж)</t>
        </is>
      </c>
    </row>
    <row r="37">
      <c r="A37" s="14" t="n">
        <v>10</v>
      </c>
      <c r="B37" s="3" t="inlineStr">
        <is>
          <t>Фурнитура к системе Модесто Тумба ТВ 200 Графит/Фон дарк упаковка 3/3</t>
        </is>
      </c>
      <c r="C37" s="14" t="n">
        <v>1</v>
      </c>
      <c r="D37" s="3" t="inlineStr">
        <is>
          <t>Заводской ШК отсутствует (фурнитура/погонаж)</t>
        </is>
      </c>
    </row>
    <row r="38">
      <c r="A38" s="15" t="n">
        <v>11</v>
      </c>
      <c r="B38" s="16" t="inlineStr">
        <is>
          <t>Система Маттео Витрина 1д1в (корпус и фурнитура) Белый упаковка 1/4</t>
        </is>
      </c>
      <c r="C38" s="15" t="n">
        <v>1</v>
      </c>
      <c r="D38" s="16" t="inlineStr">
        <is>
          <t>Заводской ШК отсутствует (фурнитура/погонаж)</t>
        </is>
      </c>
    </row>
    <row r="39">
      <c r="A39" s="14" t="n">
        <v>14</v>
      </c>
      <c r="B39" s="3" t="inlineStr">
        <is>
          <t>Фурнитура к системе Модесто Шкаф 2д1з Антрацит/Фон дарк упаковка 4/4</t>
        </is>
      </c>
      <c r="C39" s="14" t="n">
        <v>1</v>
      </c>
      <c r="D39" s="3" t="inlineStr">
        <is>
          <t>Заводской ШК отсутствует (фурнитура/погонаж)</t>
        </is>
      </c>
    </row>
    <row r="40">
      <c r="A40" s="15" t="n">
        <v>17</v>
      </c>
      <c r="B40" s="16" t="inlineStr">
        <is>
          <t>Ортопедическое основание с кронштейнами 160х200 IMP упаковка Ун1/1</t>
        </is>
      </c>
      <c r="C40" s="15" t="n">
        <v>1</v>
      </c>
      <c r="D40" s="16" t="inlineStr">
        <is>
          <t>Заводской ШК отсутствует (фурнитура/погонаж)</t>
        </is>
      </c>
    </row>
    <row r="41">
      <c r="A41" s="14" t="n">
        <v>18</v>
      </c>
      <c r="B41" s="3" t="inlineStr">
        <is>
          <t>Система Маттео Стол журнальный (корпус и фурнитура) Белый упаковка 1/2</t>
        </is>
      </c>
      <c r="C41" s="14" t="n">
        <v>2</v>
      </c>
      <c r="D41" s="3" t="inlineStr">
        <is>
          <t>Заводской ШК отсутствует (фурнитура/погонаж)</t>
        </is>
      </c>
    </row>
    <row r="42">
      <c r="A42" s="15" t="n">
        <v>20</v>
      </c>
      <c r="B42" s="16" t="inlineStr">
        <is>
          <t>Ортопедическое основание с кронштейнами 160х200 IMP упаковка Ун1/1</t>
        </is>
      </c>
      <c r="C42" s="15" t="n">
        <v>2</v>
      </c>
      <c r="D42" s="16" t="inlineStr">
        <is>
          <t>Заводской ШК отсутствует (фурнитура/погонаж)</t>
        </is>
      </c>
    </row>
    <row r="43">
      <c r="A43" s="14" t="n">
        <v>25</v>
      </c>
      <c r="B43" s="3" t="inlineStr">
        <is>
          <t>Система Модесто Кровать 160 с подъемным механизмом (корпус и фурнитура) Антрацит упаковка 1/2</t>
        </is>
      </c>
      <c r="C43" s="14" t="n">
        <v>1</v>
      </c>
      <c r="D43" s="3" t="inlineStr">
        <is>
          <t>Заводской ШК отсутствует (фурнитура/погонаж)</t>
        </is>
      </c>
    </row>
    <row r="44">
      <c r="A44" s="15" t="n">
        <v>26</v>
      </c>
      <c r="B44" s="16" t="inlineStr">
        <is>
          <t>Система Модесто Кровать 160 с подъемным механизмом (корпус) Антрацит упаковка 2/2</t>
        </is>
      </c>
      <c r="C44" s="15" t="n">
        <v>1</v>
      </c>
      <c r="D44" s="16" t="inlineStr">
        <is>
          <t>Заводской ШК отсутствует (фурнитура/погонаж)</t>
        </is>
      </c>
    </row>
    <row r="45">
      <c r="A45" s="14" t="n">
        <v>27</v>
      </c>
      <c r="B45" s="3" t="inlineStr">
        <is>
          <t>Система Барселона Сундук (фурнитура) упаковка 2/2</t>
        </is>
      </c>
      <c r="C45" s="14" t="n">
        <v>2</v>
      </c>
      <c r="D45" s="3" t="inlineStr">
        <is>
          <t>Заводской ШК отсутствует (фурнитура/погонаж)</t>
        </is>
      </c>
    </row>
    <row r="46">
      <c r="A46" s="15" t="n">
        <v>28</v>
      </c>
      <c r="B46" s="16" t="inlineStr">
        <is>
          <t>Система Маттео Стол журнальный (корпус и фурнитура) Белый упаковка 1/2</t>
        </is>
      </c>
      <c r="C46" s="15" t="n">
        <v>2</v>
      </c>
      <c r="D46" s="16" t="inlineStr">
        <is>
          <t>Заводской ШК отсутствует (фурнитура/погонаж)</t>
        </is>
      </c>
    </row>
    <row r="47">
      <c r="A47" s="14" t="n">
        <v>29</v>
      </c>
      <c r="B47" s="3" t="inlineStr">
        <is>
          <t>Ортопедическое основание с кронштейнами 180х200 IMP упаковка Ун1/1</t>
        </is>
      </c>
      <c r="C47" s="14" t="n">
        <v>1</v>
      </c>
      <c r="D47" s="3" t="inlineStr">
        <is>
          <t>Заводской ШК отсутствует (фурнитура/погонаж)</t>
        </is>
      </c>
    </row>
    <row r="48">
      <c r="A48" s="15" t="n">
        <v>30</v>
      </c>
      <c r="B48" s="16" t="inlineStr">
        <is>
          <t>Система Модесто Кровать 160 с подъемным механизмом (корпус и фурнитура) Антрацит упаковка 1/2</t>
        </is>
      </c>
      <c r="C48" s="15" t="n">
        <v>1</v>
      </c>
      <c r="D48" s="16" t="inlineStr">
        <is>
          <t>Заводской ШК отсутствует (фурнитура/погонаж)</t>
        </is>
      </c>
    </row>
    <row r="49">
      <c r="A49" s="14" t="n">
        <v>31</v>
      </c>
      <c r="B49" s="3" t="inlineStr">
        <is>
          <t>Система Модесто Кровать 160 с подъемным механизмом (корпус) Антрацит упаковка 2/2</t>
        </is>
      </c>
      <c r="C49" s="14" t="n">
        <v>1</v>
      </c>
      <c r="D49" s="3" t="inlineStr">
        <is>
          <t>Заводской ШК отсутствует (фурнитура/погонаж)</t>
        </is>
      </c>
    </row>
  </sheetData>
  <mergeCells count="4">
    <mergeCell ref="A1:D1"/>
    <mergeCell ref="A12:D12"/>
    <mergeCell ref="A27:D27"/>
    <mergeCell ref="A29:D2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2026-08-31T09:36:22Z</dcterms:created>
  <dcterms:modified xmlns:dcterms="http://purl.org/dc/terms/" xmlns:xsi="http://www.w3.org/2001/XMLSchema-instance" xsi:type="dcterms:W3CDTF">2026-08-31T09:36:22Z</dcterms:modified>
</cp:coreProperties>
</file>